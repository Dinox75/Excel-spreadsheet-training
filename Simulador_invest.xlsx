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C4CA152D-A975-4AF2-877F-848046F17652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imu Invest" sheetId="1" r:id="rId1"/>
    <sheet name="Planilha1" sheetId="2" r:id="rId2"/>
  </sheets>
  <definedNames>
    <definedName name="Aporte_mensal">'Simu Invest'!$D$11:$F$11</definedName>
    <definedName name="Qtd_anos">'Simu Invest'!$D$12:$F$12</definedName>
    <definedName name="Rendimento_carteira">'Simu Invest'!$C$7:$C$7</definedName>
    <definedName name="Salario">'Simu Invest'!$C$6:$C$6</definedName>
    <definedName name="sugestao_invest">'Simu Invest'!$C$8:$C$8</definedName>
    <definedName name="Taxa_mensal">'Simu Invest'!$D$13:$F$13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0" i="1"/>
  <c r="K4" i="2"/>
  <c r="A22" i="2"/>
  <c r="A21" i="2"/>
  <c r="A20" i="2"/>
  <c r="A19" i="2"/>
  <c r="A18" i="2"/>
  <c r="A17" i="2"/>
  <c r="A11" i="2"/>
  <c r="A12" i="2"/>
  <c r="A13" i="2"/>
  <c r="A14" i="2"/>
  <c r="A15" i="2"/>
  <c r="A10" i="2"/>
  <c r="A4" i="2"/>
  <c r="A5" i="2"/>
  <c r="A6" i="2"/>
  <c r="A7" i="2"/>
  <c r="A8" i="2"/>
  <c r="A3" i="2"/>
  <c r="C27" i="1"/>
  <c r="D14" i="1"/>
  <c r="D15" i="1"/>
  <c r="C8" i="1"/>
  <c r="D19" i="1"/>
  <c r="G19" i="1" s="1"/>
  <c r="D20" i="1"/>
  <c r="G20" i="1" s="1"/>
  <c r="D21" i="1"/>
  <c r="G21" i="1" s="1"/>
  <c r="D22" i="1"/>
  <c r="G22" i="1" s="1"/>
  <c r="D18" i="1"/>
  <c r="G18" i="1" s="1"/>
  <c r="D31" i="1" l="1"/>
  <c r="D32" i="1"/>
  <c r="D33" i="1"/>
  <c r="D34" i="1"/>
  <c r="D35" i="1"/>
  <c r="D30" i="1"/>
  <c r="D36" i="1" s="1"/>
</calcChain>
</file>

<file path=xl/sharedStrings.xml><?xml version="1.0" encoding="utf-8"?>
<sst xmlns="http://schemas.openxmlformats.org/spreadsheetml/2006/main" count="72" uniqueCount="36">
  <si>
    <t>Configurações</t>
  </si>
  <si>
    <t>Sálario</t>
  </si>
  <si>
    <t>Rendimento Carteira</t>
  </si>
  <si>
    <t>Sugestão de investimento</t>
  </si>
  <si>
    <t>Investimento Mensal</t>
  </si>
  <si>
    <t>Quanto devo investir por mes?</t>
  </si>
  <si>
    <t>Por quantos anos?</t>
  </si>
  <si>
    <t>Taxa de Rendimento mensal?</t>
  </si>
  <si>
    <t>Quanto de Patrimonio acumulado terei?</t>
  </si>
  <si>
    <t>Dividentos mensais?</t>
  </si>
  <si>
    <t>Cenarios</t>
  </si>
  <si>
    <t>Dividendo</t>
  </si>
  <si>
    <t>Quanto em 2 anos</t>
  </si>
  <si>
    <t>Quanto em 5 anos</t>
  </si>
  <si>
    <t>Quanto em 10 anos</t>
  </si>
  <si>
    <t>Quanto em 20 anos</t>
  </si>
  <si>
    <t>Quanto em 30 anos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</si>
  <si>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</si>
  <si>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</si>
  <si>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</si>
  <si>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</si>
  <si>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</si>
  <si>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</si>
  <si>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</si>
  <si>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</si>
  <si>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</si>
  <si>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</si>
  <si>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</si>
  <si>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</si>
  <si>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TOTAL</t>
  </si>
  <si>
    <t>CHAVE</t>
  </si>
  <si>
    <t>TIPO DE FII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</si>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</sst>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%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Segoe UI"/>
    </font>
    <font>
      <sz val="11"/>
      <color rgb="FF9C5700"/>
      <name val="Calibri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uble">
        <color rgb="FF000000"/>
      </bottom>
      <diagonal/>
    </border>
    <border>
      <left style="thick">
        <color rgb="FF000000"/>
      </left>
      <right/>
      <top style="thin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uble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0" fontId="5" fillId="7" borderId="38" applyNumberFormat="0" applyFont="0" applyAlignment="0" applyProtection="0"/>
  </cellStyleXfs>
  <cellXfs count="98">
    <xf numFmtId="0" fontId="0" fillId="0" borderId="0" xfId="0"/>
    <xf numFmtId="0" fontId="0" fillId="0" borderId="0" xfId="0" applyBorder="1"/>
    <xf numFmtId="0" fontId="0" fillId="0" borderId="1" xfId="0" applyBorder="1"/>
    <xf numFmtId="8" fontId="0" fillId="3" borderId="11" xfId="0" applyNumberFormat="1" applyFill="1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left" vertical="center"/>
    </xf>
    <xf numFmtId="0" fontId="2" fillId="0" borderId="13" xfId="0" applyFont="1" applyBorder="1"/>
    <xf numFmtId="8" fontId="0" fillId="3" borderId="17" xfId="0" applyNumberFormat="1" applyFill="1" applyBorder="1"/>
    <xf numFmtId="8" fontId="0" fillId="3" borderId="18" xfId="0" applyNumberFormat="1" applyFill="1" applyBorder="1"/>
    <xf numFmtId="0" fontId="0" fillId="0" borderId="20" xfId="0" applyBorder="1"/>
    <xf numFmtId="0" fontId="0" fillId="0" borderId="21" xfId="0" applyBorder="1"/>
    <xf numFmtId="0" fontId="3" fillId="2" borderId="16" xfId="0" applyFont="1" applyFill="1" applyBorder="1" applyAlignment="1">
      <alignment vertical="center"/>
    </xf>
    <xf numFmtId="165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5" fontId="0" fillId="3" borderId="34" xfId="0" applyNumberFormat="1" applyFill="1" applyBorder="1" applyAlignment="1">
      <alignment horizontal="center" vertical="center"/>
    </xf>
    <xf numFmtId="0" fontId="0" fillId="3" borderId="35" xfId="0" applyFill="1" applyBorder="1" applyAlignment="1">
      <alignment indent="2"/>
    </xf>
    <xf numFmtId="0" fontId="0" fillId="3" borderId="30" xfId="0" applyFill="1" applyBorder="1" applyAlignment="1">
      <alignment indent="2"/>
    </xf>
    <xf numFmtId="0" fontId="0" fillId="3" borderId="36" xfId="0" applyFill="1" applyBorder="1" applyAlignment="1">
      <alignment indent="2"/>
    </xf>
    <xf numFmtId="165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5" borderId="13" xfId="1" applyBorder="1" applyAlignment="1">
      <alignment horizontal="center"/>
    </xf>
    <xf numFmtId="0" fontId="4" fillId="5" borderId="0" xfId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65" fontId="1" fillId="6" borderId="0" xfId="0" applyNumberFormat="1" applyFont="1" applyFill="1"/>
    <xf numFmtId="0" fontId="1" fillId="6" borderId="0" xfId="0" applyFont="1" applyFill="1" applyAlignment="1">
      <alignment horizontal="center"/>
    </xf>
    <xf numFmtId="0" fontId="1" fillId="6" borderId="13" xfId="0" applyFont="1" applyFill="1" applyBorder="1"/>
    <xf numFmtId="0" fontId="0" fillId="0" borderId="0" xfId="0" applyBorder="1" applyAlignment="1">
      <alignment horizontal="center"/>
    </xf>
    <xf numFmtId="10" fontId="1" fillId="0" borderId="1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8" fontId="1" fillId="3" borderId="14" xfId="0" applyNumberFormat="1" applyFont="1" applyFill="1" applyBorder="1" applyAlignment="1">
      <alignment horizontal="center"/>
    </xf>
    <xf numFmtId="8" fontId="1" fillId="3" borderId="4" xfId="0" applyNumberFormat="1" applyFont="1" applyFill="1" applyBorder="1" applyAlignment="1">
      <alignment horizontal="center"/>
    </xf>
    <xf numFmtId="8" fontId="1" fillId="3" borderId="6" xfId="0" applyNumberFormat="1" applyFont="1" applyFill="1" applyBorder="1" applyAlignment="1">
      <alignment horizontal="center"/>
    </xf>
    <xf numFmtId="8" fontId="1" fillId="3" borderId="15" xfId="0" applyNumberFormat="1" applyFont="1" applyFill="1" applyBorder="1" applyAlignment="1">
      <alignment horizontal="center"/>
    </xf>
    <xf numFmtId="8" fontId="1" fillId="3" borderId="8" xfId="0" applyNumberFormat="1" applyFont="1" applyFill="1" applyBorder="1" applyAlignment="1">
      <alignment horizontal="center"/>
    </xf>
    <xf numFmtId="8" fontId="1" fillId="3" borderId="9" xfId="0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4" xfId="0" applyBorder="1" applyAlignment="1">
      <alignment horizontal="left" indent="2"/>
    </xf>
    <xf numFmtId="0" fontId="0" fillId="0" borderId="23" xfId="0" applyBorder="1" applyAlignment="1">
      <alignment horizontal="left" indent="2"/>
    </xf>
    <xf numFmtId="0" fontId="0" fillId="0" borderId="14" xfId="0" applyBorder="1" applyAlignment="1">
      <alignment horizontal="left" indent="2"/>
    </xf>
    <xf numFmtId="0" fontId="0" fillId="0" borderId="22" xfId="0" applyBorder="1" applyAlignment="1">
      <alignment horizontal="left" indent="2"/>
    </xf>
    <xf numFmtId="0" fontId="3" fillId="4" borderId="3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left" vertical="top" indent="2"/>
    </xf>
    <xf numFmtId="0" fontId="0" fillId="3" borderId="27" xfId="0" applyFill="1" applyBorder="1" applyAlignment="1">
      <alignment horizontal="left" vertical="top" indent="2"/>
    </xf>
    <xf numFmtId="8" fontId="0" fillId="3" borderId="29" xfId="0" applyNumberFormat="1" applyFill="1" applyBorder="1" applyAlignment="1">
      <alignment horizontal="center"/>
    </xf>
    <xf numFmtId="8" fontId="0" fillId="3" borderId="7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8" fontId="0" fillId="3" borderId="30" xfId="0" applyNumberFormat="1" applyFill="1" applyBorder="1" applyAlignment="1">
      <alignment horizontal="center"/>
    </xf>
    <xf numFmtId="8" fontId="0" fillId="3" borderId="26" xfId="0" applyNumberFormat="1" applyFill="1" applyBorder="1" applyAlignment="1">
      <alignment horizontal="center"/>
    </xf>
    <xf numFmtId="8" fontId="0" fillId="3" borderId="10" xfId="0" applyNumberFormat="1" applyFill="1" applyBorder="1" applyAlignment="1">
      <alignment horizontal="center"/>
    </xf>
    <xf numFmtId="8" fontId="0" fillId="3" borderId="31" xfId="0" applyNumberFormat="1" applyFill="1" applyBorder="1" applyAlignment="1">
      <alignment horizontal="center"/>
    </xf>
    <xf numFmtId="8" fontId="0" fillId="3" borderId="27" xfId="0" applyNumberFormat="1" applyFill="1" applyBorder="1" applyAlignment="1">
      <alignment horizontal="center"/>
    </xf>
    <xf numFmtId="8" fontId="0" fillId="3" borderId="28" xfId="0" applyNumberFormat="1" applyFill="1" applyBorder="1" applyAlignment="1">
      <alignment horizontal="center"/>
    </xf>
    <xf numFmtId="0" fontId="0" fillId="3" borderId="29" xfId="0" applyFill="1" applyBorder="1" applyAlignment="1">
      <alignment horizontal="left" vertical="top" indent="2"/>
    </xf>
    <xf numFmtId="0" fontId="0" fillId="3" borderId="7" xfId="0" applyFill="1" applyBorder="1" applyAlignment="1">
      <alignment horizontal="left" vertical="top" indent="2"/>
    </xf>
    <xf numFmtId="0" fontId="0" fillId="3" borderId="30" xfId="0" applyFill="1" applyBorder="1" applyAlignment="1">
      <alignment horizontal="left" vertical="top" indent="2"/>
    </xf>
    <xf numFmtId="0" fontId="0" fillId="3" borderId="26" xfId="0" applyFill="1" applyBorder="1" applyAlignment="1">
      <alignment horizontal="left" vertical="top" indent="2"/>
    </xf>
    <xf numFmtId="0" fontId="1" fillId="3" borderId="14" xfId="0" applyFont="1" applyFill="1" applyBorder="1" applyAlignment="1">
      <alignment horizontal="left" indent="2"/>
    </xf>
    <xf numFmtId="0" fontId="1" fillId="3" borderId="22" xfId="0" applyFont="1" applyFill="1" applyBorder="1" applyAlignment="1">
      <alignment horizontal="left" indent="2"/>
    </xf>
    <xf numFmtId="0" fontId="1" fillId="3" borderId="15" xfId="0" applyFont="1" applyFill="1" applyBorder="1" applyAlignment="1">
      <alignment horizontal="left" indent="2"/>
    </xf>
    <xf numFmtId="0" fontId="1" fillId="3" borderId="25" xfId="0" applyFont="1" applyFill="1" applyBorder="1" applyAlignment="1">
      <alignment horizontal="left" indent="2"/>
    </xf>
    <xf numFmtId="165" fontId="1" fillId="0" borderId="2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0" fillId="8" borderId="0" xfId="0" applyNumberFormat="1" applyFill="1" applyAlignment="1">
      <alignment horizontal="center"/>
    </xf>
    <xf numFmtId="0" fontId="0" fillId="0" borderId="39" xfId="0" applyBorder="1"/>
    <xf numFmtId="0" fontId="0" fillId="0" borderId="40" xfId="0" applyBorder="1"/>
    <xf numFmtId="0" fontId="0" fillId="0" borderId="40" xfId="0" applyBorder="1" applyAlignment="1">
      <alignment horizontal="center"/>
    </xf>
    <xf numFmtId="9" fontId="0" fillId="0" borderId="41" xfId="0" applyNumberFormat="1" applyBorder="1" applyAlignment="1">
      <alignment horizontal="center"/>
    </xf>
    <xf numFmtId="0" fontId="0" fillId="0" borderId="42" xfId="0" applyBorder="1"/>
    <xf numFmtId="9" fontId="0" fillId="0" borderId="43" xfId="0" applyNumberForma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5" xfId="0" applyBorder="1" applyAlignment="1">
      <alignment horizontal="center"/>
    </xf>
    <xf numFmtId="9" fontId="0" fillId="0" borderId="46" xfId="0" applyNumberFormat="1" applyBorder="1" applyAlignment="1">
      <alignment horizontal="center"/>
    </xf>
    <xf numFmtId="0" fontId="1" fillId="6" borderId="2" xfId="0" applyFont="1" applyFill="1" applyBorder="1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7" xfId="0" applyFont="1" applyFill="1" applyBorder="1" applyAlignment="1">
      <alignment horizontal="center" indent="1"/>
    </xf>
    <xf numFmtId="0" fontId="0" fillId="7" borderId="48" xfId="2" applyFont="1" applyBorder="1" applyAlignment="1">
      <alignment horizontal="center"/>
    </xf>
    <xf numFmtId="0" fontId="0" fillId="7" borderId="49" xfId="2" applyFont="1" applyBorder="1" applyAlignment="1">
      <alignment horizontal="center"/>
    </xf>
    <xf numFmtId="0" fontId="0" fillId="0" borderId="0" xfId="0" applyAlignment="1">
      <alignment horizontal="center" indent="1"/>
    </xf>
    <xf numFmtId="9" fontId="0" fillId="7" borderId="38" xfId="2" applyNumberFormat="1" applyFont="1" applyAlignment="1">
      <alignment horizontal="center"/>
    </xf>
  </cellXfs>
  <cellStyles count="3">
    <cellStyle name="Neutro" xfId="1" builtinId="28"/>
    <cellStyle name="Normal" xfId="0" builtinId="0"/>
    <cellStyle name="Nota" xfId="2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'Simu Invest'!$C$29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'Simu Invest'!$B$30:$B$35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 Invest'!$C$30:$C$35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B-4B07-AF20-6E0C90996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76200</xdr:rowOff>
    </xdr:from>
    <xdr:to>
      <xdr:col>7</xdr:col>
      <xdr:colOff>1123950</xdr:colOff>
      <xdr:row>3</xdr:row>
      <xdr:rowOff>133350</xdr:rowOff>
    </xdr:to>
    <xdr:pic>
      <xdr:nvPicPr>
        <xdr:cNvPr id="2" name="Imagem 1" title="INvest">
          <a:extLst>
            <a:ext uri="{FF2B5EF4-FFF2-40B4-BE49-F238E27FC236}">
              <a16:creationId xmlns:a16="http://schemas.microsoft.com/office/drawing/2014/main" id="{604EF115-A609-4231-9D28-CC41118CA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00200" y="76200"/>
          <a:ext cx="7810500" cy="628650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0</xdr:row>
      <xdr:rowOff>95250</xdr:rowOff>
    </xdr:from>
    <xdr:to>
      <xdr:col>1</xdr:col>
      <xdr:colOff>1743075</xdr:colOff>
      <xdr:row>3</xdr:row>
      <xdr:rowOff>114300</xdr:rowOff>
    </xdr:to>
    <xdr:sp macro="" textlink="">
      <xdr:nvSpPr>
        <xdr:cNvPr id="3" name="Retângulo 2" descr="Simulador Invest">
          <a:extLst>
            <a:ext uri="{FF2B5EF4-FFF2-40B4-BE49-F238E27FC236}">
              <a16:creationId xmlns:a16="http://schemas.microsoft.com/office/drawing/2014/main" id="{53CF819F-A7E5-E5E7-238C-245E0E842162}"/>
            </a:ext>
            <a:ext uri="{147F2762-F138-4A5C-976F-8EAC2B608ADB}">
              <a16:predDERef xmlns:a16="http://schemas.microsoft.com/office/drawing/2014/main" pred="{604EF115-A609-4231-9D28-CC41118CA612}"/>
            </a:ext>
          </a:extLst>
        </xdr:cNvPr>
        <xdr:cNvSpPr/>
      </xdr:nvSpPr>
      <xdr:spPr>
        <a:xfrm>
          <a:off x="1619250" y="95250"/>
          <a:ext cx="1657350" cy="590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161925</xdr:colOff>
      <xdr:row>25</xdr:row>
      <xdr:rowOff>114300</xdr:rowOff>
    </xdr:from>
    <xdr:to>
      <xdr:col>7</xdr:col>
      <xdr:colOff>1123950</xdr:colOff>
      <xdr:row>36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C58ED2-F96F-142B-0079-3D252BDB50FA}"/>
            </a:ext>
            <a:ext uri="{147F2762-F138-4A5C-976F-8EAC2B608ADB}">
              <a16:predDERef xmlns:a16="http://schemas.microsoft.com/office/drawing/2014/main" pred="{53CF819F-A7E5-E5E7-238C-245E0E842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85725</xdr:colOff>
      <xdr:row>0</xdr:row>
      <xdr:rowOff>104775</xdr:rowOff>
    </xdr:from>
    <xdr:to>
      <xdr:col>1</xdr:col>
      <xdr:colOff>1743075</xdr:colOff>
      <xdr:row>3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CCDF5A-1E9F-1F06-0DBB-6308DB3A80E9}"/>
            </a:ext>
            <a:ext uri="{147F2762-F138-4A5C-976F-8EAC2B608ADB}">
              <a16:predDERef xmlns:a16="http://schemas.microsoft.com/office/drawing/2014/main" pred="{17C58ED2-F96F-142B-0079-3D252BDB50FA}"/>
            </a:ext>
          </a:extLst>
        </xdr:cNvPr>
        <xdr:cNvSpPr txBox="1"/>
      </xdr:nvSpPr>
      <xdr:spPr>
        <a:xfrm>
          <a:off x="1619250" y="104775"/>
          <a:ext cx="1657350" cy="571500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Simulador Invest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36"/>
  <sheetViews>
    <sheetView showGridLines="0" tabSelected="1" workbookViewId="0">
      <selection activeCell="G8" sqref="G8"/>
    </sheetView>
  </sheetViews>
  <sheetFormatPr defaultColWidth="0" defaultRowHeight="15"/>
  <cols>
    <col min="1" max="1" width="23" style="5" customWidth="1"/>
    <col min="2" max="2" width="39.28515625" style="5" customWidth="1"/>
    <col min="3" max="3" width="18.42578125" bestFit="1" customWidth="1"/>
    <col min="4" max="4" width="9.5703125" bestFit="1" customWidth="1"/>
    <col min="5" max="6" width="9.140625" customWidth="1"/>
    <col min="7" max="7" width="15.7109375" bestFit="1" customWidth="1"/>
    <col min="8" max="8" width="18.85546875" style="4" customWidth="1"/>
  </cols>
  <sheetData>
    <row r="5" spans="1:6" ht="27" customHeight="1">
      <c r="B5" s="49" t="s">
        <v>0</v>
      </c>
      <c r="C5" s="50"/>
    </row>
    <row r="6" spans="1:6">
      <c r="B6" s="16" t="s">
        <v>1</v>
      </c>
      <c r="C6" s="13">
        <v>2300</v>
      </c>
    </row>
    <row r="7" spans="1:6">
      <c r="B7" s="17" t="s">
        <v>2</v>
      </c>
      <c r="C7" s="14">
        <v>8.9999999999999993E-3</v>
      </c>
    </row>
    <row r="8" spans="1:6">
      <c r="B8" s="18" t="s">
        <v>3</v>
      </c>
      <c r="C8" s="15">
        <f>C6*30%</f>
        <v>690</v>
      </c>
    </row>
    <row r="10" spans="1:6" ht="27" customHeight="1">
      <c r="A10" s="6"/>
      <c r="B10" s="42" t="s">
        <v>4</v>
      </c>
      <c r="C10" s="43"/>
      <c r="D10" s="43"/>
      <c r="E10" s="43"/>
      <c r="F10" s="44"/>
    </row>
    <row r="11" spans="1:6">
      <c r="B11" s="45" t="s">
        <v>5</v>
      </c>
      <c r="C11" s="46"/>
      <c r="D11" s="73">
        <v>690</v>
      </c>
      <c r="E11" s="74"/>
      <c r="F11" s="75"/>
    </row>
    <row r="12" spans="1:6">
      <c r="B12" s="47" t="s">
        <v>6</v>
      </c>
      <c r="C12" s="48"/>
      <c r="D12" s="76">
        <v>10</v>
      </c>
      <c r="E12" s="77"/>
      <c r="F12" s="78"/>
    </row>
    <row r="13" spans="1:6">
      <c r="B13" s="47" t="s">
        <v>7</v>
      </c>
      <c r="C13" s="48"/>
      <c r="D13" s="33">
        <v>1.0789999999999999E-2</v>
      </c>
      <c r="E13" s="34"/>
      <c r="F13" s="35"/>
    </row>
    <row r="14" spans="1:6">
      <c r="B14" s="69" t="s">
        <v>8</v>
      </c>
      <c r="C14" s="70"/>
      <c r="D14" s="36">
        <f>FV(D13,D12*12,D11*-1)</f>
        <v>167866.10664581883</v>
      </c>
      <c r="E14" s="37"/>
      <c r="F14" s="38"/>
    </row>
    <row r="15" spans="1:6">
      <c r="B15" s="71" t="s">
        <v>9</v>
      </c>
      <c r="C15" s="72"/>
      <c r="D15" s="39">
        <f>D14*$C$7</f>
        <v>1510.7949598123694</v>
      </c>
      <c r="E15" s="40"/>
      <c r="F15" s="41"/>
    </row>
    <row r="16" spans="1:6">
      <c r="C16" s="1"/>
      <c r="D16" s="1"/>
      <c r="E16" s="1"/>
      <c r="F16" s="1"/>
    </row>
    <row r="17" spans="1:8" ht="25.5">
      <c r="B17" s="51" t="s">
        <v>10</v>
      </c>
      <c r="C17" s="52"/>
      <c r="D17" s="52"/>
      <c r="E17" s="52"/>
      <c r="F17" s="53"/>
      <c r="G17" s="12" t="s">
        <v>11</v>
      </c>
    </row>
    <row r="18" spans="1:8">
      <c r="A18" s="7">
        <v>2</v>
      </c>
      <c r="B18" s="65" t="s">
        <v>12</v>
      </c>
      <c r="C18" s="66"/>
      <c r="D18" s="56">
        <f>FV($D$13,$A18*12,$D$11*-1)</f>
        <v>18787.0628353752</v>
      </c>
      <c r="E18" s="57"/>
      <c r="F18" s="58"/>
      <c r="G18" s="8">
        <f>D18*$C$7</f>
        <v>169.08356551837679</v>
      </c>
    </row>
    <row r="19" spans="1:8">
      <c r="A19" s="7">
        <v>5</v>
      </c>
      <c r="B19" s="67" t="s">
        <v>13</v>
      </c>
      <c r="C19" s="68"/>
      <c r="D19" s="59">
        <f>FV($D$13,$A19*12,$D$11*-1)</f>
        <v>57806.070658956472</v>
      </c>
      <c r="E19" s="60"/>
      <c r="F19" s="61"/>
      <c r="G19" s="3">
        <f>D19*$C$7</f>
        <v>520.25463593060817</v>
      </c>
    </row>
    <row r="20" spans="1:8">
      <c r="A20" s="7">
        <v>10</v>
      </c>
      <c r="B20" s="67" t="s">
        <v>14</v>
      </c>
      <c r="C20" s="68"/>
      <c r="D20" s="59">
        <f>FV($D$13,$A20*12,$D$11*-1)</f>
        <v>167866.10664581883</v>
      </c>
      <c r="E20" s="60"/>
      <c r="F20" s="61"/>
      <c r="G20" s="3">
        <f>D20*$C$7</f>
        <v>1510.7949598123694</v>
      </c>
    </row>
    <row r="21" spans="1:8">
      <c r="A21" s="7">
        <v>20</v>
      </c>
      <c r="B21" s="67" t="s">
        <v>15</v>
      </c>
      <c r="C21" s="68"/>
      <c r="D21" s="59">
        <f>FV($D$13,$A21*12,$D$11*-1)</f>
        <v>776386.89606698556</v>
      </c>
      <c r="E21" s="60"/>
      <c r="F21" s="61"/>
      <c r="G21" s="3">
        <f>D21*$C$7</f>
        <v>6987.4820646028693</v>
      </c>
    </row>
    <row r="22" spans="1:8">
      <c r="A22" s="7">
        <v>30</v>
      </c>
      <c r="B22" s="54" t="s">
        <v>16</v>
      </c>
      <c r="C22" s="55"/>
      <c r="D22" s="62">
        <f>FV($D$13,$A22*12,$D$11*-1)</f>
        <v>2982297.0619532531</v>
      </c>
      <c r="E22" s="63"/>
      <c r="F22" s="64"/>
      <c r="G22" s="9">
        <f>D22*$C$7</f>
        <v>26840.673557579277</v>
      </c>
    </row>
    <row r="23" spans="1:8">
      <c r="C23" s="1"/>
      <c r="D23" s="1"/>
      <c r="E23" s="1"/>
      <c r="F23" s="1"/>
      <c r="G23" s="1"/>
    </row>
    <row r="24" spans="1:8">
      <c r="A24" s="10"/>
      <c r="B24" s="10"/>
      <c r="C24" s="2"/>
      <c r="D24" s="2"/>
      <c r="E24" s="2"/>
      <c r="F24" s="2"/>
      <c r="G24" s="2"/>
      <c r="H24" s="11"/>
    </row>
    <row r="26" spans="1:8">
      <c r="B26" s="21" t="s">
        <v>17</v>
      </c>
      <c r="C26" s="22" t="s">
        <v>18</v>
      </c>
      <c r="D26" s="20"/>
    </row>
    <row r="27" spans="1:8">
      <c r="B27" s="23" t="s">
        <v>19</v>
      </c>
      <c r="C27" s="19">
        <f>D11</f>
        <v>690</v>
      </c>
      <c r="D27" s="20"/>
    </row>
    <row r="28" spans="1:8">
      <c r="B28" s="24"/>
      <c r="C28" s="20"/>
      <c r="D28" s="20"/>
    </row>
    <row r="29" spans="1:8">
      <c r="B29" s="26" t="s">
        <v>20</v>
      </c>
      <c r="C29" s="27" t="s">
        <v>21</v>
      </c>
      <c r="D29" s="30" t="s">
        <v>22</v>
      </c>
    </row>
    <row r="30" spans="1:8">
      <c r="B30" s="24" t="s">
        <v>23</v>
      </c>
      <c r="C30" s="25">
        <f>VLOOKUP($C$26&amp;"-"&amp;B30,Planilha1!$A:$D,4,FALSE)</f>
        <v>0.32</v>
      </c>
      <c r="D30" s="79">
        <f>C30*$C$27</f>
        <v>220.8</v>
      </c>
    </row>
    <row r="31" spans="1:8">
      <c r="B31" s="24" t="s">
        <v>24</v>
      </c>
      <c r="C31" s="25">
        <f>VLOOKUP($C$26&amp;"-"&amp;B31,Planilha1!$A:$D,4,FALSE)</f>
        <v>0.35</v>
      </c>
      <c r="D31" s="79">
        <f t="shared" ref="D31:D35" si="0">C31*$C$27</f>
        <v>241.49999999999997</v>
      </c>
    </row>
    <row r="32" spans="1:8">
      <c r="B32" s="24" t="s">
        <v>25</v>
      </c>
      <c r="C32" s="25">
        <f>VLOOKUP($C$26&amp;"-"&amp;B32,Planilha1!$A:$D,4,FALSE)</f>
        <v>0.08</v>
      </c>
      <c r="D32" s="79">
        <f t="shared" si="0"/>
        <v>55.2</v>
      </c>
    </row>
    <row r="33" spans="2:4">
      <c r="B33" s="24" t="s">
        <v>26</v>
      </c>
      <c r="C33" s="25">
        <f>VLOOKUP($C$26&amp;"-"&amp;B33,Planilha1!$A:$D,4,FALSE)</f>
        <v>0.05</v>
      </c>
      <c r="D33" s="79">
        <f t="shared" si="0"/>
        <v>34.5</v>
      </c>
    </row>
    <row r="34" spans="2:4">
      <c r="B34" s="24" t="s">
        <v>27</v>
      </c>
      <c r="C34" s="25">
        <f>VLOOKUP($C$26&amp;"-"&amp;B34,Planilha1!$A:$D,4,FALSE)</f>
        <v>0.1</v>
      </c>
      <c r="D34" s="79">
        <f t="shared" si="0"/>
        <v>69</v>
      </c>
    </row>
    <row r="35" spans="2:4">
      <c r="B35" s="24" t="s">
        <v>28</v>
      </c>
      <c r="C35" s="25">
        <f>VLOOKUP($C$26&amp;"-"&amp;B35,Planilha1!$A:$D,4,FALSE)</f>
        <v>0.1</v>
      </c>
      <c r="D35" s="79">
        <f t="shared" si="0"/>
        <v>69</v>
      </c>
    </row>
    <row r="36" spans="2:4">
      <c r="B36" s="31" t="s">
        <v>29</v>
      </c>
      <c r="C36" s="28"/>
      <c r="D36" s="29">
        <f>SUM(D30:D35)</f>
        <v>690</v>
      </c>
    </row>
  </sheetData>
  <mergeCells count="23">
    <mergeCell ref="B5:C5"/>
    <mergeCell ref="B17:F17"/>
    <mergeCell ref="B22:C22"/>
    <mergeCell ref="D18:F18"/>
    <mergeCell ref="D19:F19"/>
    <mergeCell ref="D20:F20"/>
    <mergeCell ref="D22:F22"/>
    <mergeCell ref="D21:F21"/>
    <mergeCell ref="B18:C18"/>
    <mergeCell ref="B19:C19"/>
    <mergeCell ref="B20:C20"/>
    <mergeCell ref="B21:C21"/>
    <mergeCell ref="B14:C14"/>
    <mergeCell ref="B15:C15"/>
    <mergeCell ref="D11:F11"/>
    <mergeCell ref="D12:F12"/>
    <mergeCell ref="D13:F13"/>
    <mergeCell ref="D14:F14"/>
    <mergeCell ref="D15:F15"/>
    <mergeCell ref="B10:F10"/>
    <mergeCell ref="B11:C11"/>
    <mergeCell ref="B12:C12"/>
    <mergeCell ref="B13:C13"/>
  </mergeCells>
  <dataValidations count="1">
    <dataValidation type="list" allowBlank="1" showInputMessage="1" showErrorMessage="1" sqref="C26" xr:uid="{BC9A438E-5AAF-482C-A119-E5A01329C66F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6771-ACD2-4AAA-9859-423639AD18B5}">
  <dimension ref="A2:K26"/>
  <sheetViews>
    <sheetView workbookViewId="0">
      <selection activeCell="D14" sqref="D14"/>
    </sheetView>
  </sheetViews>
  <sheetFormatPr defaultRowHeight="15"/>
  <cols>
    <col min="1" max="1" width="27.7109375" bestFit="1" customWidth="1"/>
    <col min="2" max="2" width="11.85546875" bestFit="1" customWidth="1"/>
    <col min="3" max="3" width="16.140625" style="20" bestFit="1" customWidth="1"/>
  </cols>
  <sheetData>
    <row r="2" spans="1:11">
      <c r="A2" s="93" t="s">
        <v>30</v>
      </c>
      <c r="B2" s="90" t="s">
        <v>17</v>
      </c>
      <c r="C2" s="91" t="s">
        <v>31</v>
      </c>
      <c r="D2" s="92" t="s">
        <v>32</v>
      </c>
    </row>
    <row r="3" spans="1:11">
      <c r="A3" s="84" t="str">
        <f>B3&amp;"-"&amp;C3</f>
        <v>Conservador-Papel</v>
      </c>
      <c r="B3" s="1" t="s">
        <v>33</v>
      </c>
      <c r="C3" s="32" t="s">
        <v>23</v>
      </c>
      <c r="D3" s="85">
        <v>0.3</v>
      </c>
      <c r="K3" s="96" t="s">
        <v>32</v>
      </c>
    </row>
    <row r="4" spans="1:11">
      <c r="A4" s="84" t="str">
        <f t="shared" ref="A4:A8" si="0">B4&amp;"-"&amp;C4</f>
        <v>Conservador-Tijolo</v>
      </c>
      <c r="B4" s="1" t="s">
        <v>33</v>
      </c>
      <c r="C4" s="32" t="s">
        <v>24</v>
      </c>
      <c r="D4" s="85">
        <v>0.5</v>
      </c>
      <c r="I4" s="94" t="s">
        <v>34</v>
      </c>
      <c r="J4" s="95"/>
      <c r="K4" s="97">
        <f>VLOOKUP(I4,$A:$D,4,FALSE)</f>
        <v>0.35</v>
      </c>
    </row>
    <row r="5" spans="1:11">
      <c r="A5" s="84" t="str">
        <f t="shared" si="0"/>
        <v>Conservador-Hibridos</v>
      </c>
      <c r="B5" s="1" t="s">
        <v>33</v>
      </c>
      <c r="C5" s="32" t="s">
        <v>25</v>
      </c>
      <c r="D5" s="85">
        <v>0.1</v>
      </c>
    </row>
    <row r="6" spans="1:11">
      <c r="A6" s="84" t="str">
        <f t="shared" si="0"/>
        <v>Conservador-FOFs</v>
      </c>
      <c r="B6" s="1" t="s">
        <v>33</v>
      </c>
      <c r="C6" s="32" t="s">
        <v>26</v>
      </c>
      <c r="D6" s="85">
        <v>0.1</v>
      </c>
    </row>
    <row r="7" spans="1:11">
      <c r="A7" s="84" t="str">
        <f t="shared" si="0"/>
        <v>Conservador-Desenvolvimento</v>
      </c>
      <c r="B7" s="1" t="s">
        <v>33</v>
      </c>
      <c r="C7" s="32" t="s">
        <v>27</v>
      </c>
      <c r="D7" s="85">
        <v>0</v>
      </c>
    </row>
    <row r="8" spans="1:11">
      <c r="A8" s="86" t="str">
        <f t="shared" si="0"/>
        <v>Conservador-Hotelarias</v>
      </c>
      <c r="B8" s="87" t="s">
        <v>33</v>
      </c>
      <c r="C8" s="88" t="s">
        <v>28</v>
      </c>
      <c r="D8" s="89">
        <v>0</v>
      </c>
    </row>
    <row r="9" spans="1:11">
      <c r="H9" s="20"/>
    </row>
    <row r="10" spans="1:11">
      <c r="A10" s="80" t="str">
        <f>B10&amp;"-"&amp;C10</f>
        <v>Moderado-Papel</v>
      </c>
      <c r="B10" s="81" t="s">
        <v>18</v>
      </c>
      <c r="C10" s="82" t="s">
        <v>23</v>
      </c>
      <c r="D10" s="83">
        <v>0.32</v>
      </c>
    </row>
    <row r="11" spans="1:11">
      <c r="A11" s="84" t="str">
        <f t="shared" ref="A11:A15" si="1">B11&amp;"-"&amp;C11</f>
        <v>Moderado-Tijolo</v>
      </c>
      <c r="B11" s="1" t="s">
        <v>18</v>
      </c>
      <c r="C11" s="32" t="s">
        <v>24</v>
      </c>
      <c r="D11" s="85">
        <v>0.35</v>
      </c>
    </row>
    <row r="12" spans="1:11">
      <c r="A12" s="84" t="str">
        <f t="shared" si="1"/>
        <v>Moderado-Hibridos</v>
      </c>
      <c r="B12" s="1" t="s">
        <v>18</v>
      </c>
      <c r="C12" s="32" t="s">
        <v>25</v>
      </c>
      <c r="D12" s="85">
        <v>0.08</v>
      </c>
    </row>
    <row r="13" spans="1:11">
      <c r="A13" s="84" t="str">
        <f t="shared" si="1"/>
        <v>Moderado-FOFs</v>
      </c>
      <c r="B13" s="1" t="s">
        <v>18</v>
      </c>
      <c r="C13" s="32" t="s">
        <v>26</v>
      </c>
      <c r="D13" s="85">
        <v>0.05</v>
      </c>
    </row>
    <row r="14" spans="1:11">
      <c r="A14" s="84" t="str">
        <f t="shared" si="1"/>
        <v>Moderado-Desenvolvimento</v>
      </c>
      <c r="B14" s="1" t="s">
        <v>18</v>
      </c>
      <c r="C14" s="32" t="s">
        <v>27</v>
      </c>
      <c r="D14" s="85">
        <v>0.1</v>
      </c>
    </row>
    <row r="15" spans="1:11">
      <c r="A15" s="86" t="str">
        <f t="shared" si="1"/>
        <v>Moderado-Hotelarias</v>
      </c>
      <c r="B15" s="87" t="s">
        <v>18</v>
      </c>
      <c r="C15" s="88" t="s">
        <v>28</v>
      </c>
      <c r="D15" s="85">
        <v>0.1</v>
      </c>
    </row>
    <row r="17" spans="1:4">
      <c r="A17" s="80" t="str">
        <f t="shared" ref="A17:A22" si="2">B17&amp;"-"&amp;C17</f>
        <v>Agressivo-Papel</v>
      </c>
      <c r="B17" s="81" t="s">
        <v>35</v>
      </c>
      <c r="C17" s="82" t="s">
        <v>23</v>
      </c>
      <c r="D17" s="83">
        <v>0.5</v>
      </c>
    </row>
    <row r="18" spans="1:4">
      <c r="A18" s="84" t="str">
        <f t="shared" si="2"/>
        <v>Agressivo-Tijolo</v>
      </c>
      <c r="B18" s="1" t="s">
        <v>35</v>
      </c>
      <c r="C18" s="32" t="s">
        <v>24</v>
      </c>
      <c r="D18" s="85">
        <v>0.1</v>
      </c>
    </row>
    <row r="19" spans="1:4">
      <c r="A19" s="84" t="str">
        <f t="shared" si="2"/>
        <v>Agressivo-Hibridos</v>
      </c>
      <c r="B19" s="1" t="s">
        <v>35</v>
      </c>
      <c r="C19" s="32" t="s">
        <v>25</v>
      </c>
      <c r="D19" s="85">
        <v>0.05</v>
      </c>
    </row>
    <row r="20" spans="1:4">
      <c r="A20" s="84" t="str">
        <f t="shared" si="2"/>
        <v>Agressivo-FOFs</v>
      </c>
      <c r="B20" s="1" t="s">
        <v>35</v>
      </c>
      <c r="C20" s="32" t="s">
        <v>26</v>
      </c>
      <c r="D20" s="85">
        <v>0.05</v>
      </c>
    </row>
    <row r="21" spans="1:4">
      <c r="A21" s="84" t="str">
        <f t="shared" si="2"/>
        <v>Agressivo-Desenvolvimento</v>
      </c>
      <c r="B21" s="1" t="s">
        <v>35</v>
      </c>
      <c r="C21" s="32" t="s">
        <v>27</v>
      </c>
      <c r="D21" s="85">
        <v>0.2</v>
      </c>
    </row>
    <row r="22" spans="1:4">
      <c r="A22" s="86" t="str">
        <f t="shared" si="2"/>
        <v>Agressivo-Hotelarias</v>
      </c>
      <c r="B22" s="87" t="s">
        <v>35</v>
      </c>
      <c r="C22" s="88" t="s">
        <v>28</v>
      </c>
      <c r="D22" s="89">
        <v>0.1</v>
      </c>
    </row>
    <row r="23" spans="1:4">
      <c r="D23" s="25"/>
    </row>
    <row r="24" spans="1:4">
      <c r="D24" s="25"/>
    </row>
    <row r="25" spans="1:4">
      <c r="D25" s="25"/>
    </row>
    <row r="26" spans="1:4">
      <c r="D26" s="25"/>
    </row>
  </sheetData>
  <mergeCells count="1"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2026-01-15T17:32:46Z</dcterms:created>
  <dcterms:modified xsi:type="dcterms:W3CDTF">2026-01-19T21:41:46Z</dcterms:modified>
  <cp:category/>
  <cp:contentStatus/>
</cp:coreProperties>
</file>